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sks" sheetId="1" state="visible" r:id="rId3"/>
    <sheet name="Summa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<sst xmlns="http://schemas.openxmlformats.org/spreadsheetml/2006/main" count="201" uniqueCount="124">
  <si>
    <t xml:space="preserve">Learning ZAX — Book Improvement Issue Tracker</t>
  </si>
  <si>
    <t xml:space="preserve">ID</t>
  </si>
  <si>
    <t xml:space="preserve">Priority</t>
  </si>
  <si>
    <t xml:space="preserve">Type</t>
  </si>
  <si>
    <t xml:space="preserve">File / Chapter</t>
  </si>
  <si>
    <t xml:space="preserve">Issue Description</t>
  </si>
  <si>
    <t xml:space="preserve">Specific Action Required</t>
  </si>
  <si>
    <t xml:space="preserve">Status</t>
  </si>
  <si>
    <t xml:space="preserve">Est. Effort</t>
  </si>
  <si>
    <t xml:space="preserve">Session Notes</t>
  </si>
  <si>
    <t xml:space="preserve">T01</t>
  </si>
  <si>
    <t xml:space="preserve">High</t>
  </si>
  <si>
    <t xml:space="preserve">New content</t>
  </si>
  <si>
    <t xml:space="preserve">README.md (root)</t>
  </si>
  <si>
    <t xml:space="preserve">No front door: book begins with a table of contents. A complete beginner never learns why they should care about assembly, why the Z80, or what they'll be able to do.</t>
  </si>
  <si>
    <t xml:space="preserve">Write a 1-page introduction: what assembly is for; why the Z80 is a good learning machine; what the reader will be able to build by the end. Add to root README or as a new INTRODUCTION.md.</t>
  </si>
  <si>
    <t xml:space="preserve">Done</t>
  </si>
  <si>
    <t xml:space="preserve">S (0.5 hr)</t>
  </si>
  <si>
    <t xml:space="preserve">T02</t>
  </si>
  <si>
    <t xml:space="preserve">Structural</t>
  </si>
  <si>
    <t xml:space="preserve">part1/01-the-computer.md</t>
  </si>
  <si>
    <t xml:space="preserve">Chapter 1 has no code. Reader absorbs the full flags register table, 17 registers, hex conversion, and endianness before writing a single instruction — no reason to care yet.</t>
  </si>
  <si>
    <t xml:space="preserve">Defer the full flags register table to Appendix 2 (where it already lives). Add one motivating machine-code byte example early in the chapter. Move endianness closer to where it is first needed (Ch 2).</t>
  </si>
  <si>
    <t xml:space="preserve">M (1 hr)</t>
  </si>
  <si>
    <t xml:space="preserve">T03</t>
  </si>
  <si>
    <t xml:space="preserve">part1/03-assembly-language.md</t>
  </si>
  <si>
    <t xml:space="preserve">Chapter 3 introduces LD (12 forms + summary table), sections, named storage, constants, ADD/INC/DEC, and signed/unsigned values in one sitting. Two's complement appears here but isn't used until Ch 4.</t>
  </si>
  <si>
    <t xml:space="preserve">Split into Ch 3 (LD basics: reg-reg, immediate, (HL) indirect, named storage, parentheses rule) and Ch 3b or Ch 4-prelude (LD advanced forms + two's complement, moved to Ch 4 where signed arithmetic is needed).</t>
  </si>
  <si>
    <t xml:space="preserve">L (2 hr)</t>
  </si>
  <si>
    <t xml:space="preserve">T04</t>
  </si>
  <si>
    <t xml:space="preserve">Prose</t>
  </si>
  <si>
    <t xml:space="preserve">'Parentheses always mean memory' is the single most important rule in the chapter but is buried in a section header. Beginners get this wrong constantly.</t>
  </si>
  <si>
    <t xml:space="preserve">Promote this rule to a visually distinct callout block (bold/boxed) immediately after the first example that uses parentheses. Repeat it as a one-liner summary in the chapter Summary section.</t>
  </si>
  <si>
    <t xml:space="preserve">T05</t>
  </si>
  <si>
    <t xml:space="preserve">part1/04-flags-comparisons-jumps.md</t>
  </si>
  <si>
    <t xml:space="preserve">The book identifies flag tracking as hard but gives no method. The reader is told to track flags carefully with no tools for doing so.</t>
  </si>
  <si>
    <t xml:space="preserve">Add a named 'flag-before-branch' technique box in Ch 4: when you write a conditional jump, ask (1) which instruction last set the flag? (2) does anything between that instruction and the jump also set it? Make this a named concept referenced by name in later chapters.</t>
  </si>
  <si>
    <t xml:space="preserve">T06</t>
  </si>
  <si>
    <t xml:space="preserve">part1/10-functions-and-the-ix-frame.md</t>
  </si>
  <si>
    <t xml:space="preserve">The (ix+name+0) and (ix+name+1) byte-lane notation is explained in one paragraph. Without a picture of the stack frame layout, the reader is memorising syntax without understanding the mechanism.</t>
  </si>
  <si>
    <t xml:space="preserve">Add an ASCII or table diagram showing a concrete stack frame: for a func with two parameters (addr, byte), show SP, IX, and each slot in memory with exact offsets. Label which (ix+name+0/1) expression reads which byte.</t>
  </si>
  <si>
    <t xml:space="preserve">T07</t>
  </si>
  <si>
    <t xml:space="preserve">part1/ (all chapters 3–13)</t>
  </si>
  <si>
    <t xml:space="preserve">Part 1 has zero exercises. Part 2 has four per chapter. Beginners learning assembly must write code; reading alone doesn't build the skill.</t>
  </si>
  <si>
    <t xml:space="preserve">Write 3–4 exercises per chapter for Part 1 chapters 3–13. Exercises should range from simple modifications (change a loop count, add a variable) to 'what if' questions about flag behaviour and correctness.</t>
  </si>
  <si>
    <t xml:space="preserve">XL (5 hr)</t>
  </si>
  <si>
    <t xml:space="preserve">Highest-impact single gap. Do Ch 3, 4, 5 first.</t>
  </si>
  <si>
    <t xml:space="preserve">T08</t>
  </si>
  <si>
    <t xml:space="preserve">part1/ (new section or file)</t>
  </si>
  <si>
    <t xml:space="preserve">No debugging guidance anywhere in the book. If a beginner's program gives wrong output, they have no framework for finding out why.</t>
  </si>
  <si>
    <t xml:space="preserve">Add a 'When Things Go Wrong' section — either at the end of Ch 3 (first runnable program) or as a standalone short chapter. Cover: compile and inspect the assembler listing; use the emulator's step/trace mode; check register state after each call; trace flag state by hand with a table.</t>
  </si>
  <si>
    <t xml:space="preserve">M (1.5 hr)</t>
  </si>
  <si>
    <t xml:space="preserve">Could also be an appendix.</t>
  </si>
  <si>
    <t xml:space="preserve">T09</t>
  </si>
  <si>
    <t xml:space="preserve">part1/03-assembly-language.md or README</t>
  </si>
  <si>
    <t xml:space="preserve">The boundary between raw Z80 and ZAX additions is never explicitly stated. Readers who search for 'func' or 'if NZ' in Z80 references won't find them and won't know why.</t>
  </si>
  <si>
    <t xml:space="preserve">Add a short 'What ZAX adds' explainer (half a page): list the Z80 instructions vs the ZAX constructs (func, if/while/select, :=, step, op, var, section, const) and explain that ZAX compiles to Z80 with no hidden runtime.</t>
  </si>
  <si>
    <t xml:space="preserve">Natural home: after first ZAX-specific syntax in Ch 3.</t>
  </si>
  <si>
    <t xml:space="preserve">T10</t>
  </si>
  <si>
    <t xml:space="preserve">Medium</t>
  </si>
  <si>
    <t xml:space="preserve">Hex and binary conversion tables appear before the reader has any reason to care about them. The 'why' is missing.</t>
  </si>
  <si>
    <t xml:space="preserve">Add one or two sentences before the positional-value table explaining when programmers actually need to convert: reading memory dumps, checking a status byte's individual bits, verifying an address is in the right range.</t>
  </si>
  <si>
    <t xml:space="preserve">T11</t>
  </si>
  <si>
    <t xml:space="preserve">part1/09-a-phase-a-program.md</t>
  </si>
  <si>
    <t xml:space="preserve">The push/pop in count_above that 'does no useful work' is presented as raw-Z80 friction, but an experienced programmer would just write ld d, 0 directly. The example slightly constructs the problem.</t>
  </si>
  <si>
    <t xml:space="preserve">Revise the explanation: acknowledge that ld d, 0 is mechanically safe here, but explain that in a larger function with more registers active, proving safety requires careful reading of every instruction in scope — and that this discipline becomes the burden.</t>
  </si>
  <si>
    <t xml:space="preserve">T12</t>
  </si>
  <si>
    <t xml:space="preserve">part2/00-introduction.md + part2/01-foundations.md</t>
  </si>
  <si>
    <t xml:space="preserve">Part 2 re-explains :=, func, and while NZ in detail for readers who just completed Part 1. This is redundant for that audience and inconsistently done.</t>
  </si>
  <si>
    <t xml:space="preserve">Keep the re-introduction in Part 2 Ch 1 (for the 'prior Z80 experience' audience) but add a note: 'If you completed Part 1, the material in this section is familiar — skip to The Chapter 01 Programs.' Trim the flag-establishment re-explanations to a one-line reminder.</t>
  </si>
  <si>
    <t xml:space="preserve">T13</t>
  </si>
  <si>
    <t xml:space="preserve">part2/09-gaps-and-futures.md</t>
  </si>
  <si>
    <t xml:space="preserve">The final chapter of the course ends on a list of language limitations. After a demanding course, this is deflating.</t>
  </si>
  <si>
    <t xml:space="preserve">Move the full friction log to docs/design/ or an appendix. Retain a short paragraph in Ch 9 summarising what was resolved (break/continue) vs what remains open. End the chapter with a forward-looking close: what the reader can build now, where to go next.</t>
  </si>
  <si>
    <t xml:space="preserve">T14</t>
  </si>
  <si>
    <t xml:space="preserve">part1/ (all chapters)</t>
  </si>
  <si>
    <t xml:space="preserve">'flag-before-branch' pattern is re-explained 8+ times across Part 1 and Part 2. After T05 names it, later occurrences should reference the name rather than repeat the explanation.</t>
  </si>
  <si>
    <t xml:space="preserve">After T05 is done: do a pass through all Part 1 chapters and replace full re-explanations of the or-a flag-establishment pattern with a brief '(flag-before-branch pattern from Ch 4)' callout.</t>
  </si>
  <si>
    <t xml:space="preserve">Depends on T05.</t>
  </si>
  <si>
    <t xml:space="preserve">T15</t>
  </si>
  <si>
    <t xml:space="preserve">part1/08-io-and-ports.md</t>
  </si>
  <si>
    <t xml:space="preserve">Interrupts are completely absent. Hardware programmers will need them almost immediately after finishing the course.</t>
  </si>
  <si>
    <t xml:space="preserve">Add a paragraph at the end of Ch 8 or in an appendix: 'This course covers polled I/O. The Z80 also supports interrupt-driven I/O via EI/DI and interrupt modes 0/1/2, which are beyond this course's scope. [Reference to further reading].'</t>
  </si>
  <si>
    <t xml:space="preserve">T16</t>
  </si>
  <si>
    <t xml:space="preserve">part2/ (all chapters)</t>
  </si>
  <si>
    <t xml:space="preserve">Part 2 prose is good but inconsistent in places: some sections re-explain flag establishment at length, others assume the reader knows it; some chapters use the full ld a, 1/or a idiom without comment.</t>
  </si>
  <si>
    <t xml:space="preserve">Prose pass over Part 2: trim re-explanations that duplicate Part 1, ensure consistent tone, and replace verbose idiom explanations with named-technique references after T14 is done.</t>
  </si>
  <si>
    <t xml:space="preserve">Do after T14.</t>
  </si>
  <si>
    <t xml:space="preserve">T17</t>
  </si>
  <si>
    <t xml:space="preserve">part1/07-stack-and-subroutines.md</t>
  </si>
  <si>
    <t xml:space="preserve">The distinction between a ZAX func block and a raw labeled subroutine (the ret requirement difference) is made but could be more prominent.</t>
  </si>
  <si>
    <t xml:space="preserve">Add a callout box or short 'ZAX func vs raw subroutine' comparison table: when you use each, what the compiler generates, why ret is required in one and optional in the other.</t>
  </si>
  <si>
    <t xml:space="preserve">T18</t>
  </si>
  <si>
    <t xml:space="preserve">Low</t>
  </si>
  <si>
    <t xml:space="preserve">Review</t>
  </si>
  <si>
    <t xml:space="preserve">appendices/ (all)</t>
  </si>
  <si>
    <t xml:space="preserve">After the structural changes in T02 and T03, the appendices should be checked: the flags table and register table may now be the first place certain content appears.</t>
  </si>
  <si>
    <t xml:space="preserve">After T02 and T03 are complete, review the four appendices: ensure they are cross-referenced correctly from the revised chapters and that no content has been duplicated or orphaned.</t>
  </si>
  <si>
    <t xml:space="preserve">Depends on T02, T03.</t>
  </si>
  <si>
    <t xml:space="preserve">T19</t>
  </si>
  <si>
    <t xml:space="preserve">General prose quality pass: sentence rhythm, redundant hedging phrases, passive-voice overuse, and the occasional place where the writing drifts into reference-manual style.</t>
  </si>
  <si>
    <t xml:space="preserve">Full prose quality pass over Part 1 chapters 1–13. Focus on: opening paragraphs of each chapter (set the purpose clearly), transitions between sections, and Summary sections (currently excellent — maintain this standard).</t>
  </si>
  <si>
    <t xml:space="preserve">XL (4 hr)</t>
  </si>
  <si>
    <t xml:space="preserve">Do last, after all structural changes.</t>
  </si>
  <si>
    <t xml:space="preserve">T20</t>
  </si>
  <si>
    <t xml:space="preserve">part1/ (README or intro)</t>
  </si>
  <si>
    <t xml:space="preserve">The book has no statement of what system the examples run on, what emulator to use, or what 'platform-agnostic' means in practice. The TEC-1 is mentioned once in passing.</t>
  </si>
  <si>
    <t xml:space="preserve">Add a 'Hardware and emulator setup' section to the Part 1 README or root README: name the target system (or explain the platform-agnostic approach), link to the emulator, and show how to verify that a compiled program ran correctly.</t>
  </si>
  <si>
    <t xml:space="preserve">Book Improvement — Summary Dashboard</t>
  </si>
  <si>
    <t xml:space="preserve">By Priority</t>
  </si>
  <si>
    <t xml:space="preserve">TOTAL</t>
  </si>
  <si>
    <t xml:space="preserve">By Type</t>
  </si>
  <si>
    <t xml:space="preserve">Total Tasks</t>
  </si>
  <si>
    <t xml:space="preserve">Not Started</t>
  </si>
  <si>
    <t xml:space="preserve">Effort Key</t>
  </si>
  <si>
    <t xml:space="preserve">Approx. Time</t>
  </si>
  <si>
    <t xml:space="preserve">S (small)</t>
  </si>
  <si>
    <t xml:space="preserve">~30 min</t>
  </si>
  <si>
    <t xml:space="preserve">M (medium)</t>
  </si>
  <si>
    <t xml:space="preserve">~1 hr</t>
  </si>
  <si>
    <t xml:space="preserve">L (large)</t>
  </si>
  <si>
    <t xml:space="preserve">~2 hr</t>
  </si>
  <si>
    <t xml:space="preserve">XL (x-large)</t>
  </si>
  <si>
    <t xml:space="preserve">4–5 hr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</si>
</sst>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2E5EAA"/>
      <name val="Arial"/>
      <family val="0"/>
      <charset val="1"/>
    </font>
    <font>
      <b val="true"/>
      <sz val="9"/>
      <color rgb="FFC00000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9"/>
      <color rgb="FF404040"/>
      <name val="Arial"/>
      <family val="0"/>
      <charset val="1"/>
    </font>
    <font>
      <sz val="11"/>
      <color rgb="FF276221"/>
      <name val="Cambria"/>
      <family val="0"/>
      <charset val="1"/>
    </font>
    <font>
      <b val="true"/>
      <sz val="9"/>
      <color rgb="FF7F6000"/>
      <name val="Arial"/>
      <family val="0"/>
      <charset val="1"/>
    </font>
    <font>
      <b val="true"/>
      <sz val="9"/>
      <color rgb="FF375623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7F6000"/>
      <name val="Arial"/>
      <family val="0"/>
      <charset val="1"/>
    </font>
    <font>
      <b val="true"/>
      <sz val="10"/>
      <color rgb="FF375623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5EAA"/>
        <bgColor rgb="FF3366FF"/>
      </patternFill>
    </fill>
    <fill>
      <patternFill patternType="solid">
        <fgColor rgb="FFFFFFFF"/>
        <bgColor rgb="FFF2F2F2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BF3FB"/>
      </patternFill>
    </fill>
    <fill>
      <patternFill patternType="solid">
        <fgColor rgb="FFEBF3FB"/>
        <bgColor rgb="FFF2F2F2"/>
      </patternFill>
    </fill>
    <fill>
      <patternFill patternType="solid">
        <fgColor rgb="FFC6EFCE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F2F2F2"/>
      </patternFill>
    </fill>
    <fill>
      <patternFill patternType="solid">
        <fgColor rgb="FFBDD7EE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276221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EBF3FB"/>
      <rgbColor rgb="FF660066"/>
      <rgbColor rgb="FFFF8080"/>
      <rgbColor rgb="FF2E5EA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2F2F2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75623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9"/>
    <col collapsed="false" customWidth="true" hidden="false" outlineLevel="0" max="3" min="3" style="1" width="14"/>
    <col collapsed="false" customWidth="true" hidden="false" outlineLevel="0" max="4" min="4" style="1" width="22"/>
    <col collapsed="false" customWidth="true" hidden="false" outlineLevel="0" max="5" min="5" style="1" width="44"/>
    <col collapsed="false" customWidth="true" hidden="false" outlineLevel="0" max="6" min="6" style="1" width="52"/>
    <col collapsed="false" customWidth="true" hidden="false" outlineLevel="0" max="7" min="7" style="1" width="13"/>
    <col collapsed="false" customWidth="true" hidden="false" outlineLevel="0" max="8" min="8" style="1" width="11"/>
    <col collapsed="false" customWidth="true" hidden="false" outlineLevel="0" max="9" min="9" style="1" width="3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</row>
    <row r="2" customFormat="false" ht="18" hidden="false" customHeight="tru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</row>
    <row r="3" customFormat="false" ht="60" hidden="false" customHeight="true" outlineLevel="0" collapsed="false">
      <c r="A3" s="4" t="s">
        <v>10</v>
      </c>
      <c r="B3" s="5" t="s">
        <v>11</v>
      </c>
      <c r="C3" s="6" t="s">
        <v>12</v>
      </c>
      <c r="D3" s="6" t="s">
        <v>13</v>
      </c>
      <c r="E3" s="6" t="s">
        <v>14</v>
      </c>
      <c r="F3" s="6" t="s">
        <v>15</v>
      </c>
      <c r="G3" s="7" t="s">
        <v>16</v>
      </c>
      <c r="H3" s="8" t="s">
        <v>17</v>
      </c>
      <c r="I3" s="6"/>
    </row>
    <row r="4" customFormat="false" ht="60" hidden="false" customHeight="true" outlineLevel="0" collapsed="false">
      <c r="A4" s="9" t="s">
        <v>18</v>
      </c>
      <c r="B4" s="5" t="s">
        <v>11</v>
      </c>
      <c r="C4" s="10" t="s">
        <v>19</v>
      </c>
      <c r="D4" s="10" t="s">
        <v>20</v>
      </c>
      <c r="E4" s="10" t="s">
        <v>21</v>
      </c>
      <c r="F4" s="10" t="s">
        <v>22</v>
      </c>
      <c r="G4" s="7" t="s">
        <v>16</v>
      </c>
      <c r="H4" s="11" t="s">
        <v>23</v>
      </c>
      <c r="I4" s="10"/>
    </row>
    <row r="5" customFormat="false" ht="60" hidden="false" customHeight="true" outlineLevel="0" collapsed="false">
      <c r="A5" s="4" t="s">
        <v>24</v>
      </c>
      <c r="B5" s="5" t="s">
        <v>11</v>
      </c>
      <c r="C5" s="6" t="s">
        <v>19</v>
      </c>
      <c r="D5" s="6" t="s">
        <v>25</v>
      </c>
      <c r="E5" s="6" t="s">
        <v>26</v>
      </c>
      <c r="F5" s="6" t="s">
        <v>27</v>
      </c>
      <c r="G5" s="12" t="s">
        <v>16</v>
      </c>
      <c r="H5" s="8" t="s">
        <v>28</v>
      </c>
      <c r="I5" s="6"/>
    </row>
    <row r="6" customFormat="false" ht="60" hidden="false" customHeight="true" outlineLevel="0" collapsed="false">
      <c r="A6" s="9" t="s">
        <v>29</v>
      </c>
      <c r="B6" s="5" t="s">
        <v>11</v>
      </c>
      <c r="C6" s="10" t="s">
        <v>30</v>
      </c>
      <c r="D6" s="10" t="s">
        <v>25</v>
      </c>
      <c r="E6" s="10" t="s">
        <v>31</v>
      </c>
      <c r="F6" s="10" t="s">
        <v>32</v>
      </c>
      <c r="G6" s="12" t="s">
        <v>16</v>
      </c>
      <c r="H6" s="11" t="s">
        <v>17</v>
      </c>
      <c r="I6" s="10"/>
    </row>
    <row r="7" customFormat="false" ht="60" hidden="false" customHeight="true" outlineLevel="0" collapsed="false">
      <c r="A7" s="4" t="s">
        <v>33</v>
      </c>
      <c r="B7" s="5" t="s">
        <v>11</v>
      </c>
      <c r="C7" s="6" t="s">
        <v>12</v>
      </c>
      <c r="D7" s="6" t="s">
        <v>34</v>
      </c>
      <c r="E7" s="6" t="s">
        <v>35</v>
      </c>
      <c r="F7" s="6" t="s">
        <v>36</v>
      </c>
      <c r="G7" s="12" t="s">
        <v>16</v>
      </c>
      <c r="H7" s="8" t="s">
        <v>23</v>
      </c>
      <c r="I7" s="6"/>
    </row>
    <row r="8" customFormat="false" ht="60" hidden="false" customHeight="true" outlineLevel="0" collapsed="false">
      <c r="A8" s="9" t="s">
        <v>37</v>
      </c>
      <c r="B8" s="5" t="s">
        <v>11</v>
      </c>
      <c r="C8" s="10" t="s">
        <v>12</v>
      </c>
      <c r="D8" s="10" t="s">
        <v>38</v>
      </c>
      <c r="E8" s="10" t="s">
        <v>39</v>
      </c>
      <c r="F8" s="10" t="s">
        <v>40</v>
      </c>
      <c r="G8" s="7" t="s">
        <v>16</v>
      </c>
      <c r="H8" s="11" t="s">
        <v>23</v>
      </c>
      <c r="I8" s="10"/>
    </row>
    <row r="9" customFormat="false" ht="60" hidden="false" customHeight="true" outlineLevel="0" collapsed="false">
      <c r="A9" s="4" t="s">
        <v>41</v>
      </c>
      <c r="B9" s="5" t="s">
        <v>11</v>
      </c>
      <c r="C9" s="6" t="s">
        <v>12</v>
      </c>
      <c r="D9" s="6" t="s">
        <v>42</v>
      </c>
      <c r="E9" s="6" t="s">
        <v>43</v>
      </c>
      <c r="F9" s="6" t="s">
        <v>44</v>
      </c>
      <c r="G9" s="12" t="s">
        <v>16</v>
      </c>
      <c r="H9" s="8" t="s">
        <v>45</v>
      </c>
      <c r="I9" s="6" t="s">
        <v>46</v>
      </c>
    </row>
    <row r="10" customFormat="false" ht="60" hidden="false" customHeight="true" outlineLevel="0" collapsed="false">
      <c r="A10" s="9" t="s">
        <v>47</v>
      </c>
      <c r="B10" s="5" t="s">
        <v>11</v>
      </c>
      <c r="C10" s="10" t="s">
        <v>12</v>
      </c>
      <c r="D10" s="10" t="s">
        <v>48</v>
      </c>
      <c r="E10" s="10" t="s">
        <v>49</v>
      </c>
      <c r="F10" s="10" t="s">
        <v>50</v>
      </c>
      <c r="G10" s="12" t="s">
        <v>16</v>
      </c>
      <c r="H10" s="11" t="s">
        <v>51</v>
      </c>
      <c r="I10" s="10" t="s">
        <v>52</v>
      </c>
    </row>
    <row r="11" customFormat="false" ht="60" hidden="false" customHeight="true" outlineLevel="0" collapsed="false">
      <c r="A11" s="4" t="s">
        <v>53</v>
      </c>
      <c r="B11" s="5" t="s">
        <v>11</v>
      </c>
      <c r="C11" s="6" t="s">
        <v>12</v>
      </c>
      <c r="D11" s="6" t="s">
        <v>54</v>
      </c>
      <c r="E11" s="6" t="s">
        <v>55</v>
      </c>
      <c r="F11" s="6" t="s">
        <v>56</v>
      </c>
      <c r="G11" s="12" t="s">
        <v>16</v>
      </c>
      <c r="H11" s="8" t="s">
        <v>17</v>
      </c>
      <c r="I11" s="6" t="s">
        <v>57</v>
      </c>
    </row>
    <row r="12" customFormat="false" ht="60" hidden="false" customHeight="true" outlineLevel="0" collapsed="false">
      <c r="A12" s="9" t="s">
        <v>58</v>
      </c>
      <c r="B12" s="13" t="s">
        <v>59</v>
      </c>
      <c r="C12" s="10" t="s">
        <v>30</v>
      </c>
      <c r="D12" s="10" t="s">
        <v>20</v>
      </c>
      <c r="E12" s="10" t="s">
        <v>60</v>
      </c>
      <c r="F12" s="10" t="s">
        <v>61</v>
      </c>
      <c r="G12" s="12" t="s">
        <v>16</v>
      </c>
      <c r="H12" s="11" t="s">
        <v>17</v>
      </c>
      <c r="I12" s="10"/>
    </row>
    <row r="13" customFormat="false" ht="60" hidden="false" customHeight="true" outlineLevel="0" collapsed="false">
      <c r="A13" s="4" t="s">
        <v>62</v>
      </c>
      <c r="B13" s="13" t="s">
        <v>59</v>
      </c>
      <c r="C13" s="6" t="s">
        <v>30</v>
      </c>
      <c r="D13" s="6" t="s">
        <v>63</v>
      </c>
      <c r="E13" s="6" t="s">
        <v>64</v>
      </c>
      <c r="F13" s="6" t="s">
        <v>65</v>
      </c>
      <c r="G13" s="12" t="s">
        <v>16</v>
      </c>
      <c r="H13" s="8" t="s">
        <v>17</v>
      </c>
      <c r="I13" s="6"/>
    </row>
    <row r="14" customFormat="false" ht="60" hidden="false" customHeight="true" outlineLevel="0" collapsed="false">
      <c r="A14" s="9" t="s">
        <v>66</v>
      </c>
      <c r="B14" s="13" t="s">
        <v>59</v>
      </c>
      <c r="C14" s="10" t="s">
        <v>19</v>
      </c>
      <c r="D14" s="10" t="s">
        <v>67</v>
      </c>
      <c r="E14" s="10" t="s">
        <v>68</v>
      </c>
      <c r="F14" s="10" t="s">
        <v>69</v>
      </c>
      <c r="G14" s="12" t="s">
        <v>16</v>
      </c>
      <c r="H14" s="11" t="s">
        <v>17</v>
      </c>
      <c r="I14" s="10"/>
    </row>
    <row r="15" customFormat="false" ht="60" hidden="false" customHeight="true" outlineLevel="0" collapsed="false">
      <c r="A15" s="4" t="s">
        <v>70</v>
      </c>
      <c r="B15" s="13" t="s">
        <v>59</v>
      </c>
      <c r="C15" s="6" t="s">
        <v>19</v>
      </c>
      <c r="D15" s="6" t="s">
        <v>71</v>
      </c>
      <c r="E15" s="6" t="s">
        <v>72</v>
      </c>
      <c r="F15" s="6" t="s">
        <v>73</v>
      </c>
      <c r="G15" s="12" t="s">
        <v>16</v>
      </c>
      <c r="H15" s="8" t="s">
        <v>23</v>
      </c>
      <c r="I15" s="6"/>
    </row>
    <row r="16" customFormat="false" ht="60" hidden="false" customHeight="true" outlineLevel="0" collapsed="false">
      <c r="A16" s="9" t="s">
        <v>74</v>
      </c>
      <c r="B16" s="13" t="s">
        <v>59</v>
      </c>
      <c r="C16" s="10" t="s">
        <v>30</v>
      </c>
      <c r="D16" s="10" t="s">
        <v>75</v>
      </c>
      <c r="E16" s="10" t="s">
        <v>76</v>
      </c>
      <c r="F16" s="10" t="s">
        <v>77</v>
      </c>
      <c r="G16" s="12" t="s">
        <v>16</v>
      </c>
      <c r="H16" s="11" t="s">
        <v>23</v>
      </c>
      <c r="I16" s="10" t="s">
        <v>78</v>
      </c>
    </row>
    <row r="17" customFormat="false" ht="60" hidden="false" customHeight="true" outlineLevel="0" collapsed="false">
      <c r="A17" s="4" t="s">
        <v>79</v>
      </c>
      <c r="B17" s="13" t="s">
        <v>59</v>
      </c>
      <c r="C17" s="6" t="s">
        <v>30</v>
      </c>
      <c r="D17" s="6" t="s">
        <v>80</v>
      </c>
      <c r="E17" s="6" t="s">
        <v>81</v>
      </c>
      <c r="F17" s="6" t="s">
        <v>82</v>
      </c>
      <c r="G17" s="12" t="s">
        <v>16</v>
      </c>
      <c r="H17" s="8" t="s">
        <v>17</v>
      </c>
      <c r="I17" s="6"/>
    </row>
    <row r="18" customFormat="false" ht="60" hidden="false" customHeight="true" outlineLevel="0" collapsed="false">
      <c r="A18" s="9" t="s">
        <v>83</v>
      </c>
      <c r="B18" s="13" t="s">
        <v>59</v>
      </c>
      <c r="C18" s="10" t="s">
        <v>30</v>
      </c>
      <c r="D18" s="10" t="s">
        <v>84</v>
      </c>
      <c r="E18" s="10" t="s">
        <v>85</v>
      </c>
      <c r="F18" s="10" t="s">
        <v>86</v>
      </c>
      <c r="G18" s="12" t="s">
        <v>16</v>
      </c>
      <c r="H18" s="11" t="s">
        <v>28</v>
      </c>
      <c r="I18" s="10" t="s">
        <v>87</v>
      </c>
    </row>
    <row r="19" customFormat="false" ht="60" hidden="false" customHeight="true" outlineLevel="0" collapsed="false">
      <c r="A19" s="4" t="s">
        <v>88</v>
      </c>
      <c r="B19" s="13" t="s">
        <v>59</v>
      </c>
      <c r="C19" s="6" t="s">
        <v>30</v>
      </c>
      <c r="D19" s="6" t="s">
        <v>89</v>
      </c>
      <c r="E19" s="6" t="s">
        <v>90</v>
      </c>
      <c r="F19" s="6" t="s">
        <v>91</v>
      </c>
      <c r="G19" s="12" t="s">
        <v>16</v>
      </c>
      <c r="H19" s="8" t="s">
        <v>17</v>
      </c>
      <c r="I19" s="6"/>
    </row>
    <row r="20" customFormat="false" ht="60" hidden="false" customHeight="true" outlineLevel="0" collapsed="false">
      <c r="A20" s="9" t="s">
        <v>92</v>
      </c>
      <c r="B20" s="14" t="s">
        <v>93</v>
      </c>
      <c r="C20" s="10" t="s">
        <v>94</v>
      </c>
      <c r="D20" s="10" t="s">
        <v>95</v>
      </c>
      <c r="E20" s="10" t="s">
        <v>96</v>
      </c>
      <c r="F20" s="10" t="s">
        <v>97</v>
      </c>
      <c r="G20" s="12" t="s">
        <v>16</v>
      </c>
      <c r="H20" s="11" t="s">
        <v>17</v>
      </c>
      <c r="I20" s="10" t="s">
        <v>98</v>
      </c>
    </row>
    <row r="21" customFormat="false" ht="60" hidden="false" customHeight="true" outlineLevel="0" collapsed="false">
      <c r="A21" s="4" t="s">
        <v>99</v>
      </c>
      <c r="B21" s="14" t="s">
        <v>93</v>
      </c>
      <c r="C21" s="6" t="s">
        <v>30</v>
      </c>
      <c r="D21" s="6" t="s">
        <v>75</v>
      </c>
      <c r="E21" s="6" t="s">
        <v>100</v>
      </c>
      <c r="F21" s="6" t="s">
        <v>101</v>
      </c>
      <c r="G21" s="12" t="s">
        <v>16</v>
      </c>
      <c r="H21" s="8" t="s">
        <v>102</v>
      </c>
      <c r="I21" s="6" t="s">
        <v>103</v>
      </c>
    </row>
    <row r="22" customFormat="false" ht="60" hidden="false" customHeight="true" outlineLevel="0" collapsed="false">
      <c r="A22" s="9" t="s">
        <v>104</v>
      </c>
      <c r="B22" s="14" t="s">
        <v>93</v>
      </c>
      <c r="C22" s="10" t="s">
        <v>12</v>
      </c>
      <c r="D22" s="10" t="s">
        <v>105</v>
      </c>
      <c r="E22" s="10" t="s">
        <v>106</v>
      </c>
      <c r="F22" s="10" t="s">
        <v>107</v>
      </c>
      <c r="G22" s="12" t="s">
        <v>16</v>
      </c>
      <c r="H22" s="11" t="s">
        <v>17</v>
      </c>
      <c r="I22" s="10"/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4" min="2" style="1" width="14"/>
    <col collapsed="false" customWidth="true" hidden="false" outlineLevel="0" max="5" min="5" style="1" width="36"/>
  </cols>
  <sheetData>
    <row r="1" customFormat="false" ht="25.5" hidden="false" customHeight="true" outlineLevel="0" collapsed="false">
      <c r="A1" s="2" t="s">
        <v>108</v>
      </c>
      <c r="B1" s="2"/>
      <c r="C1" s="2"/>
      <c r="D1" s="2"/>
      <c r="E1" s="2"/>
    </row>
    <row r="3" customFormat="false" ht="15" hidden="false" customHeight="true" outlineLevel="0" collapsed="false">
      <c r="A3" s="3" t="s">
        <v>109</v>
      </c>
      <c r="B3" s="3" t="n">
        <v>9</v>
      </c>
      <c r="C3" s="3" t="n">
        <v>3</v>
      </c>
      <c r="D3" s="3" t="n">
        <v>6</v>
      </c>
      <c r="E3" s="3" t="n">
        <f aca="false">6/9</f>
        <v>0.666666666666667</v>
      </c>
    </row>
    <row r="4" customFormat="false" ht="18" hidden="false" customHeight="true" outlineLevel="0" collapsed="false">
      <c r="A4" s="15" t="s">
        <v>11</v>
      </c>
      <c r="B4" s="16" t="n">
        <v>8</v>
      </c>
      <c r="C4" s="16" t="n">
        <v>0</v>
      </c>
      <c r="D4" s="16" t="n">
        <v>8</v>
      </c>
      <c r="E4" s="17" t="n">
        <f aca="false">8/8</f>
        <v>1</v>
      </c>
    </row>
    <row r="5" customFormat="false" ht="18" hidden="false" customHeight="true" outlineLevel="0" collapsed="false">
      <c r="A5" s="18" t="s">
        <v>59</v>
      </c>
      <c r="B5" s="16" t="n">
        <v>3</v>
      </c>
      <c r="C5" s="16" t="n">
        <v>0</v>
      </c>
      <c r="D5" s="16" t="n">
        <v>3</v>
      </c>
      <c r="E5" s="17" t="n">
        <f aca="false">3/3</f>
        <v>1</v>
      </c>
    </row>
    <row r="6" customFormat="false" ht="18" hidden="false" customHeight="true" outlineLevel="0" collapsed="false">
      <c r="A6" s="19" t="s">
        <v>93</v>
      </c>
      <c r="B6" s="16" t="n">
        <v>20</v>
      </c>
      <c r="C6" s="16" t="n">
        <v>3</v>
      </c>
      <c r="D6" s="16" t="n">
        <v>17</v>
      </c>
      <c r="E6" s="17" t="n">
        <f aca="false">17/20</f>
        <v>0.85</v>
      </c>
    </row>
    <row r="7" customFormat="false" ht="18" hidden="false" customHeight="true" outlineLevel="0" collapsed="false">
      <c r="A7" s="20" t="s">
        <v>110</v>
      </c>
      <c r="B7" s="21" t="n">
        <f aca="false">SUM(B4:B6)</f>
        <v>31</v>
      </c>
      <c r="C7" s="21" t="n">
        <f aca="false">SUM(C4:C6)</f>
        <v>3</v>
      </c>
      <c r="D7" s="21" t="n">
        <f aca="false">SUM(D4:D6)</f>
        <v>28</v>
      </c>
      <c r="E7" s="22" t="n">
        <f aca="false">IFERROR(D7/B7,0)</f>
        <v>0.903225806451613</v>
      </c>
    </row>
    <row r="9" customFormat="false" ht="15" hidden="false" customHeight="true" outlineLevel="0" collapsed="false">
      <c r="A9" s="3" t="s">
        <v>111</v>
      </c>
      <c r="B9" s="3" t="s">
        <v>112</v>
      </c>
      <c r="C9" s="3" t="s">
        <v>113</v>
      </c>
      <c r="D9" s="3" t="s">
        <v>16</v>
      </c>
    </row>
    <row r="10" customFormat="false" ht="15.75" hidden="false" customHeight="true" outlineLevel="0" collapsed="false">
      <c r="A10" s="23" t="s">
        <v>12</v>
      </c>
      <c r="B10" s="16" t="n">
        <f aca="false">COUNTIF(Tasks!C$3:C$22,A10)</f>
        <v>7</v>
      </c>
      <c r="C10" s="16" t="n">
        <f aca="false">COUNTIFS(Tasks!C$3:C$22,A10,Tasks!G$3:G$22,"Not started")</f>
        <v>0</v>
      </c>
      <c r="D10" s="16" t="n">
        <f aca="false">COUNTIFS(Tasks!C$3:C$22,A10,Tasks!G$3:G$22,"Done")</f>
        <v>7</v>
      </c>
    </row>
    <row r="11" customFormat="false" ht="15.75" hidden="false" customHeight="true" outlineLevel="0" collapsed="false">
      <c r="A11" s="23" t="s">
        <v>19</v>
      </c>
      <c r="B11" s="16" t="n">
        <f aca="false">COUNTIF(Tasks!C$3:C$22,A11)</f>
        <v>4</v>
      </c>
      <c r="C11" s="16" t="n">
        <f aca="false">COUNTIFS(Tasks!C$3:C$22,A11,Tasks!G$3:G$22,"Not started")</f>
        <v>0</v>
      </c>
      <c r="D11" s="16" t="n">
        <f aca="false">COUNTIFS(Tasks!C$3:C$22,A11,Tasks!G$3:G$22,"Done")</f>
        <v>4</v>
      </c>
    </row>
    <row r="12" customFormat="false" ht="15.75" hidden="false" customHeight="true" outlineLevel="0" collapsed="false">
      <c r="A12" s="23" t="s">
        <v>30</v>
      </c>
      <c r="B12" s="16" t="n">
        <f aca="false">COUNTIF(Tasks!C$3:C$22,A12)</f>
        <v>8</v>
      </c>
      <c r="C12" s="16" t="n">
        <f aca="false">COUNTIFS(Tasks!C$3:C$22,A12,Tasks!G$3:G$22,"Not started")</f>
        <v>0</v>
      </c>
      <c r="D12" s="16" t="n">
        <f aca="false">COUNTIFS(Tasks!C$3:C$22,A12,Tasks!G$3:G$22,"Done")</f>
        <v>8</v>
      </c>
    </row>
    <row r="13" customFormat="false" ht="15.75" hidden="false" customHeight="true" outlineLevel="0" collapsed="false">
      <c r="A13" s="23" t="s">
        <v>94</v>
      </c>
      <c r="B13" s="16" t="n">
        <f aca="false">COUNTIF(Tasks!C$3:C$22,A13)</f>
        <v>1</v>
      </c>
      <c r="C13" s="16" t="n">
        <f aca="false">COUNTIFS(Tasks!C$3:C$22,A13,Tasks!G$3:G$22,"Not started")</f>
        <v>0</v>
      </c>
      <c r="D13" s="16" t="n">
        <f aca="false">COUNTIFS(Tasks!C$3:C$22,A13,Tasks!G$3:G$22,"Done")</f>
        <v>1</v>
      </c>
    </row>
    <row r="15" customFormat="false" ht="15" hidden="false" customHeight="true" outlineLevel="0" collapsed="false">
      <c r="A15" s="24" t="s">
        <v>114</v>
      </c>
      <c r="B15" s="24" t="s">
        <v>115</v>
      </c>
    </row>
    <row r="16" customFormat="false" ht="15" hidden="false" customHeight="true" outlineLevel="0" collapsed="false">
      <c r="A16" s="25" t="s">
        <v>116</v>
      </c>
      <c r="B16" s="25" t="s">
        <v>117</v>
      </c>
    </row>
    <row r="17" customFormat="false" ht="15" hidden="false" customHeight="true" outlineLevel="0" collapsed="false">
      <c r="A17" s="25" t="s">
        <v>118</v>
      </c>
      <c r="B17" s="25" t="s">
        <v>119</v>
      </c>
    </row>
    <row r="18" customFormat="false" ht="15" hidden="false" customHeight="true" outlineLevel="0" collapsed="false">
      <c r="A18" s="25" t="s">
        <v>120</v>
      </c>
      <c r="B18" s="25" t="s">
        <v>121</v>
      </c>
    </row>
    <row r="19" customFormat="false" ht="15" hidden="false" customHeight="true" outlineLevel="0" collapsed="false">
      <c r="A19" s="25" t="s">
        <v>122</v>
      </c>
      <c r="B19" s="25" t="s">
        <v>123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2026-04-03T08:39:38Z</dcterms:created>
  <dc:creator>openpyxl</dc:creator>
  <dc:description/>
  <dc:language>en-US</dc:language>
  <cp:lastModifiedBy/>
  <dcterms:modified xsi:type="dcterms:W3CDTF">2026-04-03T23:08:34Z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