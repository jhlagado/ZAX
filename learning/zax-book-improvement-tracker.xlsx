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5EAA"/>
      <sz val="9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rgb="FF404040"/>
      <sz val="9"/>
    </font>
    <font>
      <name val="Arial"/>
      <charset val="1"/>
      <family val="0"/>
      <b val="1"/>
      <color rgb="FF404040"/>
      <sz val="9"/>
    </font>
    <font>
      <name val="Arial"/>
      <charset val="1"/>
      <family val="0"/>
      <b val="1"/>
      <color rgb="FF7F6000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C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0"/>
    </font>
    <font>
      <color rgb="00276221"/>
    </font>
  </fonts>
  <fills count="12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EAA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/>
    </xf>
    <xf numFmtId="0" fontId="11" fillId="9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9" fontId="17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18" fillId="11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center" vertical="top"/>
    </xf>
    <xf numFmtId="0" fontId="11" fillId="9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9" fontId="17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2E5EAA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4" min="1" max="1"/>
    <col width="9" customWidth="1" style="24" min="2" max="2"/>
    <col width="14" customWidth="1" style="24" min="3" max="3"/>
    <col width="22" customWidth="1" style="24" min="4" max="4"/>
    <col width="44" customWidth="1" style="24" min="5" max="5"/>
    <col width="52" customWidth="1" style="24" min="6" max="6"/>
    <col width="13" customWidth="1" style="24" min="7" max="7"/>
    <col width="11" customWidth="1" style="24" min="8" max="8"/>
    <col width="36" customWidth="1" style="24" min="9" max="9"/>
  </cols>
  <sheetData>
    <row r="1" ht="25.5" customHeight="1" s="25">
      <c r="A1" s="26" t="inlineStr">
        <is>
          <t>Learning ZAX — Book Improvement Issue Tracker</t>
        </is>
      </c>
    </row>
    <row r="2" ht="18" customHeight="1" s="25">
      <c r="A2" s="27" t="inlineStr">
        <is>
          <t>ID</t>
        </is>
      </c>
      <c r="B2" s="27" t="inlineStr">
        <is>
          <t>Priority</t>
        </is>
      </c>
      <c r="C2" s="27" t="inlineStr">
        <is>
          <t>Type</t>
        </is>
      </c>
      <c r="D2" s="27" t="inlineStr">
        <is>
          <t>File / Chapter</t>
        </is>
      </c>
      <c r="E2" s="27" t="inlineStr">
        <is>
          <t>Issue Description</t>
        </is>
      </c>
      <c r="F2" s="27" t="inlineStr">
        <is>
          <t>Specific Action Required</t>
        </is>
      </c>
      <c r="G2" s="27" t="inlineStr">
        <is>
          <t>Status</t>
        </is>
      </c>
      <c r="H2" s="27" t="inlineStr">
        <is>
          <t>Est. Effort</t>
        </is>
      </c>
      <c r="I2" s="27" t="inlineStr">
        <is>
          <t>Session Notes</t>
        </is>
      </c>
    </row>
    <row r="3" ht="60" customHeight="1" s="25">
      <c r="A3" s="28" t="inlineStr">
        <is>
          <t>T01</t>
        </is>
      </c>
      <c r="B3" s="29" t="inlineStr">
        <is>
          <t>High</t>
        </is>
      </c>
      <c r="C3" s="30" t="inlineStr">
        <is>
          <t>New content</t>
        </is>
      </c>
      <c r="D3" s="30" t="inlineStr">
        <is>
          <t>README.md (root)</t>
        </is>
      </c>
      <c r="E3" s="30" t="inlineStr">
        <is>
          <t>No front door: book begins with a table of contents. A complete beginner never learns why they should care about assembly, why the Z80, or what they'll be able to do.</t>
        </is>
      </c>
      <c r="F3" s="30" t="inlineStr">
        <is>
          <t>Write a 1-page introduction: what assembly is for; why the Z80 is a good learning machine; what the reader will be able to build by the end. Add to root README or as a new INTRODUCTION.md.</t>
        </is>
      </c>
      <c r="G3" s="31" t="inlineStr">
        <is>
          <t>Not started</t>
        </is>
      </c>
      <c r="H3" s="32" t="inlineStr">
        <is>
          <t>S (0.5 hr)</t>
        </is>
      </c>
      <c r="I3" s="30" t="n"/>
    </row>
    <row r="4" ht="60" customHeight="1" s="25">
      <c r="A4" s="33" t="inlineStr">
        <is>
          <t>T02</t>
        </is>
      </c>
      <c r="B4" s="29" t="inlineStr">
        <is>
          <t>High</t>
        </is>
      </c>
      <c r="C4" s="34" t="inlineStr">
        <is>
          <t>Structural</t>
        </is>
      </c>
      <c r="D4" s="34" t="inlineStr">
        <is>
          <t>part1/01-the-computer.md</t>
        </is>
      </c>
      <c r="E4" s="34" t="inlineStr">
        <is>
          <t>Chapter 1 has no code. Reader absorbs the full flags register table, 17 registers, hex conversion, and endianness before writing a single instruction — no reason to care yet.</t>
        </is>
      </c>
      <c r="F4" s="34" t="inlineStr">
        <is>
          <t>Defer the full flags register table to Appendix 2 (where it already lives). Add one motivating machine-code byte example early in the chapter. Move endianness closer to where it is first needed (Ch 2).</t>
        </is>
      </c>
      <c r="G4" s="31" t="inlineStr">
        <is>
          <t>Not started</t>
        </is>
      </c>
      <c r="H4" s="35" t="inlineStr">
        <is>
          <t>M (1 hr)</t>
        </is>
      </c>
      <c r="I4" s="34" t="n"/>
    </row>
    <row r="5" ht="60" customHeight="1" s="25">
      <c r="A5" s="28" t="inlineStr">
        <is>
          <t>T03</t>
        </is>
      </c>
      <c r="B5" s="29" t="inlineStr">
        <is>
          <t>High</t>
        </is>
      </c>
      <c r="C5" s="30" t="inlineStr">
        <is>
          <t>Structural</t>
        </is>
      </c>
      <c r="D5" s="30" t="inlineStr">
        <is>
          <t>part1/03-assembly-language.md</t>
        </is>
      </c>
      <c r="E5" s="30" t="inlineStr">
        <is>
          <t>Chapter 3 introduces LD (12 forms + summary table), sections, named storage, constants, ADD/INC/DEC, and signed/unsigned values in one sitting. Two's complement appears here but isn't used until Ch 4.</t>
        </is>
      </c>
      <c r="F5" s="30" t="inlineStr">
        <is>
          <t>Split into Ch 3 (LD basics: reg-reg, immediate, (HL) indirect, named storage, parentheses rule) and Ch 3b or Ch 4-prelude (LD advanced forms + two's complement, moved to Ch 4 where signed arithmetic is needed).</t>
        </is>
      </c>
      <c r="G5" s="36" t="inlineStr">
        <is>
          <t>Done</t>
        </is>
      </c>
      <c r="H5" s="32" t="inlineStr">
        <is>
          <t>L (2 hr)</t>
        </is>
      </c>
      <c r="I5" s="30" t="n"/>
    </row>
    <row r="6" ht="60" customHeight="1" s="25">
      <c r="A6" s="33" t="inlineStr">
        <is>
          <t>T04</t>
        </is>
      </c>
      <c r="B6" s="29" t="inlineStr">
        <is>
          <t>High</t>
        </is>
      </c>
      <c r="C6" s="34" t="inlineStr">
        <is>
          <t>Prose</t>
        </is>
      </c>
      <c r="D6" s="34" t="inlineStr">
        <is>
          <t>part1/03-assembly-language.md</t>
        </is>
      </c>
      <c r="E6" s="34" t="inlineStr">
        <is>
          <t>'Parentheses always mean memory' is the single most important rule in the chapter but is buried in a section header. Beginners get this wrong constantly.</t>
        </is>
      </c>
      <c r="F6" s="34" t="inlineStr">
        <is>
          <t>Promote this rule to a visually distinct callout block (bold/boxed) immediately after the first example that uses parentheses. Repeat it as a one-liner summary in the chapter Summary section.</t>
        </is>
      </c>
      <c r="G6" s="36" t="inlineStr">
        <is>
          <t>Done</t>
        </is>
      </c>
      <c r="H6" s="35" t="inlineStr">
        <is>
          <t>S (0.5 hr)</t>
        </is>
      </c>
      <c r="I6" s="34" t="n"/>
    </row>
    <row r="7" ht="60" customHeight="1" s="25">
      <c r="A7" s="28" t="inlineStr">
        <is>
          <t>T05</t>
        </is>
      </c>
      <c r="B7" s="29" t="inlineStr">
        <is>
          <t>High</t>
        </is>
      </c>
      <c r="C7" s="30" t="inlineStr">
        <is>
          <t>New content</t>
        </is>
      </c>
      <c r="D7" s="30" t="inlineStr">
        <is>
          <t>part1/04-flags-comparisons-jumps.md</t>
        </is>
      </c>
      <c r="E7" s="30" t="inlineStr">
        <is>
          <t>The book identifies flag tracking as hard but gives no method. The reader is told to track flags carefully with no tools for doing so.</t>
        </is>
      </c>
      <c r="F7" s="30" t="inlineStr">
        <is>
          <t>Add a named 'flag-before-branch' technique box in Ch 4: when you write a conditional jump, ask (1) which instruction last set the flag? (2) does anything between that instruction and the jump also set it? Make this a named concept referenced by name in later chapters.</t>
        </is>
      </c>
      <c r="G7" s="36" t="inlineStr">
        <is>
          <t>Done</t>
        </is>
      </c>
      <c r="H7" s="32" t="inlineStr">
        <is>
          <t>M (1 hr)</t>
        </is>
      </c>
      <c r="I7" s="30" t="n"/>
    </row>
    <row r="8" ht="60" customHeight="1" s="25">
      <c r="A8" s="33" t="inlineStr">
        <is>
          <t>T06</t>
        </is>
      </c>
      <c r="B8" s="29" t="inlineStr">
        <is>
          <t>High</t>
        </is>
      </c>
      <c r="C8" s="34" t="inlineStr">
        <is>
          <t>New content</t>
        </is>
      </c>
      <c r="D8" s="34" t="inlineStr">
        <is>
          <t>part1/10-functions-and-the-ix-frame.md</t>
        </is>
      </c>
      <c r="E8" s="34" t="inlineStr">
        <is>
          <t>The (ix+name+0) and (ix+name+1) byte-lane notation is explained in one paragraph. Without a picture of the stack frame layout, the reader is memorising syntax without understanding the mechanism.</t>
        </is>
      </c>
      <c r="F8" s="34" t="inlineStr">
        <is>
          <t>Add an ASCII or table diagram showing a concrete stack frame: for a func with two parameters (addr, byte), show SP, IX, and each slot in memory with exact offsets. Label which (ix+name+0/1) expression reads which byte.</t>
        </is>
      </c>
      <c r="G8" s="31" t="inlineStr">
        <is>
          <t>Not started</t>
        </is>
      </c>
      <c r="H8" s="35" t="inlineStr">
        <is>
          <t>M (1 hr)</t>
        </is>
      </c>
      <c r="I8" s="34" t="n"/>
    </row>
    <row r="9" ht="60" customHeight="1" s="25">
      <c r="A9" s="28" t="inlineStr">
        <is>
          <t>T07</t>
        </is>
      </c>
      <c r="B9" s="29" t="inlineStr">
        <is>
          <t>High</t>
        </is>
      </c>
      <c r="C9" s="30" t="inlineStr">
        <is>
          <t>New content</t>
        </is>
      </c>
      <c r="D9" s="30" t="inlineStr">
        <is>
          <t>part1/ (all chapters 3–13)</t>
        </is>
      </c>
      <c r="E9" s="30" t="inlineStr">
        <is>
          <t>Part 1 has zero exercises. Part 2 has four per chapter. Beginners learning assembly must write code; reading alone doesn't build the skill.</t>
        </is>
      </c>
      <c r="F9" s="30" t="inlineStr">
        <is>
          <t>Write 3–4 exercises per chapter for Part 1 chapters 3–13. Exercises should range from simple modifications (change a loop count, add a variable) to 'what if' questions about flag behaviour and correctness.</t>
        </is>
      </c>
      <c r="G9" s="36" t="inlineStr">
        <is>
          <t>Done</t>
        </is>
      </c>
      <c r="H9" s="32" t="inlineStr">
        <is>
          <t>XL (5 hr)</t>
        </is>
      </c>
      <c r="I9" s="30" t="inlineStr">
        <is>
          <t>Highest-impact single gap. Do Ch 3, 4, 5 first.</t>
        </is>
      </c>
    </row>
    <row r="10" ht="60" customHeight="1" s="25">
      <c r="A10" s="33" t="inlineStr">
        <is>
          <t>T08</t>
        </is>
      </c>
      <c r="B10" s="29" t="inlineStr">
        <is>
          <t>High</t>
        </is>
      </c>
      <c r="C10" s="34" t="inlineStr">
        <is>
          <t>New content</t>
        </is>
      </c>
      <c r="D10" s="34" t="inlineStr">
        <is>
          <t>part1/ (new section or file)</t>
        </is>
      </c>
      <c r="E10" s="34" t="inlineStr">
        <is>
          <t>No debugging guidance anywhere in the book. If a beginner's program gives wrong output, they have no framework for finding out why.</t>
        </is>
      </c>
      <c r="F10" s="34" t="inlineStr">
        <is>
          <t>Add a 'When Things Go Wrong' section — either at the end of Ch 3 (first runnable program) or as a standalone short chapter. Cover: compile and inspect the assembler listing; use the emulator's step/trace mode; check register state after each call; trace flag state by hand with a table.</t>
        </is>
      </c>
      <c r="G10" s="36" t="inlineStr">
        <is>
          <t>Done</t>
        </is>
      </c>
      <c r="H10" s="35" t="inlineStr">
        <is>
          <t>M (1.5 hr)</t>
        </is>
      </c>
      <c r="I10" s="34" t="inlineStr">
        <is>
          <t>Could also be an appendix.</t>
        </is>
      </c>
    </row>
    <row r="11" ht="60" customHeight="1" s="25">
      <c r="A11" s="28" t="inlineStr">
        <is>
          <t>T09</t>
        </is>
      </c>
      <c r="B11" s="29" t="inlineStr">
        <is>
          <t>High</t>
        </is>
      </c>
      <c r="C11" s="30" t="inlineStr">
        <is>
          <t>New content</t>
        </is>
      </c>
      <c r="D11" s="30" t="inlineStr">
        <is>
          <t>part1/03-assembly-language.md or README</t>
        </is>
      </c>
      <c r="E11" s="30" t="inlineStr">
        <is>
          <t>The boundary between raw Z80 and ZAX additions is never explicitly stated. Readers who search for 'func' or 'if NZ' in Z80 references won't find them and won't know why.</t>
        </is>
      </c>
      <c r="F11" s="30" t="inlineStr">
        <is>
          <t>Add a short 'What ZAX adds' explainer (half a page): list the Z80 instructions vs the ZAX constructs (func, if/while/select, :=, step, op, var, section, const) and explain that ZAX compiles to Z80 with no hidden runtime.</t>
        </is>
      </c>
      <c r="G11" s="36" t="inlineStr">
        <is>
          <t>Done</t>
        </is>
      </c>
      <c r="H11" s="32" t="inlineStr">
        <is>
          <t>S (0.5 hr)</t>
        </is>
      </c>
      <c r="I11" s="30" t="inlineStr">
        <is>
          <t>Natural home: after first ZAX-specific syntax in Ch 3.</t>
        </is>
      </c>
    </row>
    <row r="12" ht="60" customHeight="1" s="25">
      <c r="A12" s="33" t="inlineStr">
        <is>
          <t>T10</t>
        </is>
      </c>
      <c r="B12" s="37" t="inlineStr">
        <is>
          <t>Medium</t>
        </is>
      </c>
      <c r="C12" s="34" t="inlineStr">
        <is>
          <t>Prose</t>
        </is>
      </c>
      <c r="D12" s="34" t="inlineStr">
        <is>
          <t>part1/01-the-computer.md</t>
        </is>
      </c>
      <c r="E12" s="34" t="inlineStr">
        <is>
          <t>Hex and binary conversion tables appear before the reader has any reason to care about them. The 'why' is missing.</t>
        </is>
      </c>
      <c r="F12" s="34" t="inlineStr">
        <is>
          <t>Add one or two sentences before the positional-value table explaining when programmers actually need to convert: reading memory dumps, checking a status byte's individual bits, verifying an address is in the right range.</t>
        </is>
      </c>
      <c r="G12" s="36" t="inlineStr">
        <is>
          <t>Done</t>
        </is>
      </c>
      <c r="H12" s="35" t="inlineStr">
        <is>
          <t>S (0.5 hr)</t>
        </is>
      </c>
      <c r="I12" s="34" t="n"/>
    </row>
    <row r="13" ht="60" customHeight="1" s="25">
      <c r="A13" s="28" t="inlineStr">
        <is>
          <t>T11</t>
        </is>
      </c>
      <c r="B13" s="37" t="inlineStr">
        <is>
          <t>Medium</t>
        </is>
      </c>
      <c r="C13" s="30" t="inlineStr">
        <is>
          <t>Prose</t>
        </is>
      </c>
      <c r="D13" s="30" t="inlineStr">
        <is>
          <t>part1/09-a-phase-a-program.md</t>
        </is>
      </c>
      <c r="E13" s="30" t="inlineStr">
        <is>
          <t>The push/pop in count_above that 'does no useful work' is presented as raw-Z80 friction, but an experienced programmer would just write ld d, 0 directly. The example slightly constructs the problem.</t>
        </is>
      </c>
      <c r="F13" s="30" t="inlineStr">
        <is>
          <t>Revise the explanation: acknowledge that ld d, 0 is mechanically safe here, but explain that in a larger function with more registers active, proving safety requires careful reading of every instruction in scope — and that this discipline becomes the burden.</t>
        </is>
      </c>
      <c r="G13" s="36" t="inlineStr">
        <is>
          <t>Done</t>
        </is>
      </c>
      <c r="H13" s="32" t="inlineStr">
        <is>
          <t>S (0.5 hr)</t>
        </is>
      </c>
      <c r="I13" s="30" t="n"/>
    </row>
    <row r="14" ht="60" customHeight="1" s="25">
      <c r="A14" s="33" t="inlineStr">
        <is>
          <t>T12</t>
        </is>
      </c>
      <c r="B14" s="37" t="inlineStr">
        <is>
          <t>Medium</t>
        </is>
      </c>
      <c r="C14" s="34" t="inlineStr">
        <is>
          <t>Structural</t>
        </is>
      </c>
      <c r="D14" s="34" t="inlineStr">
        <is>
          <t>part2/00-introduction.md + part2/01-foundations.md</t>
        </is>
      </c>
      <c r="E14" s="34" t="inlineStr">
        <is>
          <t>Part 2 re-explains :=, func, and while NZ in detail for readers who just completed Part 1. This is redundant for that audience and inconsistently done.</t>
        </is>
      </c>
      <c r="F14" s="34" t="inlineStr">
        <is>
          <t>Keep the re-introduction in Part 2 Ch 1 (for the 'prior Z80 experience' audience) but add a note: 'If you completed Part 1, the material in this section is familiar — skip to The Chapter 01 Programs.' Trim the flag-establishment re-explanations to a one-line reminder.</t>
        </is>
      </c>
      <c r="G14" s="36" t="inlineStr">
        <is>
          <t>Done</t>
        </is>
      </c>
      <c r="H14" s="35" t="inlineStr">
        <is>
          <t>S (0.5 hr)</t>
        </is>
      </c>
      <c r="I14" s="34" t="n"/>
    </row>
    <row r="15" ht="60" customHeight="1" s="25">
      <c r="A15" s="28" t="inlineStr">
        <is>
          <t>T13</t>
        </is>
      </c>
      <c r="B15" s="37" t="inlineStr">
        <is>
          <t>Medium</t>
        </is>
      </c>
      <c r="C15" s="30" t="inlineStr">
        <is>
          <t>Structural</t>
        </is>
      </c>
      <c r="D15" s="30" t="inlineStr">
        <is>
          <t>part2/09-gaps-and-futures.md</t>
        </is>
      </c>
      <c r="E15" s="30" t="inlineStr">
        <is>
          <t>The final chapter of the course ends on a list of language limitations. After a demanding course, this is deflating.</t>
        </is>
      </c>
      <c r="F15" s="30" t="inlineStr">
        <is>
          <t>Move the full friction log to docs/design/ or an appendix. Retain a short paragraph in Ch 9 summarising what was resolved (break/continue) vs what remains open. End the chapter with a forward-looking close: what the reader can build now, where to go next.</t>
        </is>
      </c>
      <c r="G15" s="36" t="inlineStr">
        <is>
          <t>Done</t>
        </is>
      </c>
      <c r="H15" s="32" t="inlineStr">
        <is>
          <t>M (1 hr)</t>
        </is>
      </c>
      <c r="I15" s="30" t="n"/>
    </row>
    <row r="16" ht="60" customHeight="1" s="25">
      <c r="A16" s="33" t="inlineStr">
        <is>
          <t>T14</t>
        </is>
      </c>
      <c r="B16" s="37" t="inlineStr">
        <is>
          <t>Medium</t>
        </is>
      </c>
      <c r="C16" s="34" t="inlineStr">
        <is>
          <t>Prose</t>
        </is>
      </c>
      <c r="D16" s="34" t="inlineStr">
        <is>
          <t>part1/ (all chapters)</t>
        </is>
      </c>
      <c r="E16" s="34" t="inlineStr">
        <is>
          <t>'flag-before-branch' pattern is re-explained 8+ times across Part 1 and Part 2. After T05 names it, later occurrences should reference the name rather than repeat the explanation.</t>
        </is>
      </c>
      <c r="F16" s="34" t="inlineStr">
        <is>
          <t>After T05 is done: do a pass through all Part 1 chapters and replace full re-explanations of the or-a flag-establishment pattern with a brief '(flag-before-branch pattern from Ch 4)' callout.</t>
        </is>
      </c>
      <c r="G16" s="36" t="inlineStr">
        <is>
          <t>Done</t>
        </is>
      </c>
      <c r="H16" s="35" t="inlineStr">
        <is>
          <t>M (1 hr)</t>
        </is>
      </c>
      <c r="I16" s="34" t="inlineStr">
        <is>
          <t>Depends on T05.</t>
        </is>
      </c>
    </row>
    <row r="17" ht="60" customHeight="1" s="25">
      <c r="A17" s="28" t="inlineStr">
        <is>
          <t>T15</t>
        </is>
      </c>
      <c r="B17" s="37" t="inlineStr">
        <is>
          <t>Medium</t>
        </is>
      </c>
      <c r="C17" s="30" t="inlineStr">
        <is>
          <t>Prose</t>
        </is>
      </c>
      <c r="D17" s="30" t="inlineStr">
        <is>
          <t>part1/08-io-and-ports.md</t>
        </is>
      </c>
      <c r="E17" s="30" t="inlineStr">
        <is>
          <t>Interrupts are completely absent. Hardware programmers will need them almost immediately after finishing the course.</t>
        </is>
      </c>
      <c r="F17" s="30" t="inlineStr">
        <is>
          <t>Add a paragraph at the end of Ch 8 or in an appendix: 'This course covers polled I/O. The Z80 also supports interrupt-driven I/O via EI/DI and interrupt modes 0/1/2, which are beyond this course's scope. [Reference to further reading].'</t>
        </is>
      </c>
      <c r="G17" s="36" t="inlineStr">
        <is>
          <t>Done</t>
        </is>
      </c>
      <c r="H17" s="32" t="inlineStr">
        <is>
          <t>S (0.5 hr)</t>
        </is>
      </c>
      <c r="I17" s="30" t="n"/>
    </row>
    <row r="18" ht="60" customHeight="1" s="25">
      <c r="A18" s="33" t="inlineStr">
        <is>
          <t>T16</t>
        </is>
      </c>
      <c r="B18" s="37" t="inlineStr">
        <is>
          <t>Medium</t>
        </is>
      </c>
      <c r="C18" s="34" t="inlineStr">
        <is>
          <t>Prose</t>
        </is>
      </c>
      <c r="D18" s="34" t="inlineStr">
        <is>
          <t>part2/ (all chapters)</t>
        </is>
      </c>
      <c r="E18" s="34" t="inlineStr">
        <is>
          <t>Part 2 prose is good but inconsistent in places: some sections re-explain flag establishment at length, others assume the reader knows it; some chapters use the full ld a, 1/or a idiom without comment.</t>
        </is>
      </c>
      <c r="F18" s="34" t="inlineStr">
        <is>
          <t>Prose pass over Part 2: trim re-explanations that duplicate Part 1, ensure consistent tone, and replace verbose idiom explanations with named-technique references after T14 is done.</t>
        </is>
      </c>
      <c r="G18" s="36" t="inlineStr">
        <is>
          <t>Done</t>
        </is>
      </c>
      <c r="H18" s="35" t="inlineStr">
        <is>
          <t>L (2 hr)</t>
        </is>
      </c>
      <c r="I18" s="34" t="inlineStr">
        <is>
          <t>Do after T14.</t>
        </is>
      </c>
    </row>
    <row r="19" ht="60" customHeight="1" s="25">
      <c r="A19" s="28" t="inlineStr">
        <is>
          <t>T17</t>
        </is>
      </c>
      <c r="B19" s="37" t="inlineStr">
        <is>
          <t>Medium</t>
        </is>
      </c>
      <c r="C19" s="30" t="inlineStr">
        <is>
          <t>Prose</t>
        </is>
      </c>
      <c r="D19" s="30" t="inlineStr">
        <is>
          <t>part1/07-stack-and-subroutines.md</t>
        </is>
      </c>
      <c r="E19" s="30" t="inlineStr">
        <is>
          <t>The distinction between a ZAX func block and a raw labeled subroutine (the ret requirement difference) is made but could be more prominent.</t>
        </is>
      </c>
      <c r="F19" s="30" t="inlineStr">
        <is>
          <t>Add a callout box or short 'ZAX func vs raw subroutine' comparison table: when you use each, what the compiler generates, why ret is required in one and optional in the other.</t>
        </is>
      </c>
      <c r="G19" s="36" t="inlineStr">
        <is>
          <t>Done</t>
        </is>
      </c>
      <c r="H19" s="32" t="inlineStr">
        <is>
          <t>S (0.5 hr)</t>
        </is>
      </c>
      <c r="I19" s="30" t="n"/>
    </row>
    <row r="20" ht="60" customHeight="1" s="25">
      <c r="A20" s="33" t="inlineStr">
        <is>
          <t>T18</t>
        </is>
      </c>
      <c r="B20" s="38" t="inlineStr">
        <is>
          <t>Low</t>
        </is>
      </c>
      <c r="C20" s="34" t="inlineStr">
        <is>
          <t>Review</t>
        </is>
      </c>
      <c r="D20" s="34" t="inlineStr">
        <is>
          <t>appendices/ (all)</t>
        </is>
      </c>
      <c r="E20" s="34" t="inlineStr">
        <is>
          <t>After the structural changes in T02 and T03, the appendices should be checked: the flags table and register table may now be the first place certain content appears.</t>
        </is>
      </c>
      <c r="F20" s="34" t="inlineStr">
        <is>
          <t>After T02 and T03 are complete, review the four appendices: ensure they are cross-referenced correctly from the revised chapters and that no content has been duplicated or orphaned.</t>
        </is>
      </c>
      <c r="G20" s="36" t="inlineStr">
        <is>
          <t>Done</t>
        </is>
      </c>
      <c r="H20" s="35" t="inlineStr">
        <is>
          <t>S (0.5 hr)</t>
        </is>
      </c>
      <c r="I20" s="34" t="inlineStr">
        <is>
          <t>Depends on T02, T03.</t>
        </is>
      </c>
    </row>
    <row r="21" ht="60" customHeight="1" s="25">
      <c r="A21" s="28" t="inlineStr">
        <is>
          <t>T19</t>
        </is>
      </c>
      <c r="B21" s="38" t="inlineStr">
        <is>
          <t>Low</t>
        </is>
      </c>
      <c r="C21" s="30" t="inlineStr">
        <is>
          <t>Prose</t>
        </is>
      </c>
      <c r="D21" s="30" t="inlineStr">
        <is>
          <t>part1/ (all chapters)</t>
        </is>
      </c>
      <c r="E21" s="30" t="inlineStr">
        <is>
          <t>General prose quality pass: sentence rhythm, redundant hedging phrases, passive-voice overuse, and the occasional place where the writing drifts into reference-manual style.</t>
        </is>
      </c>
      <c r="F21" s="30" t="inlineStr">
        <is>
          <t>Full prose quality pass over Part 1 chapters 1–13. Focus on: opening paragraphs of each chapter (set the purpose clearly), transitions between sections, and Summary sections (currently excellent — maintain this standard).</t>
        </is>
      </c>
      <c r="G21" s="36" t="inlineStr">
        <is>
          <t>Done</t>
        </is>
      </c>
      <c r="H21" s="32" t="inlineStr">
        <is>
          <t>XL (4 hr)</t>
        </is>
      </c>
      <c r="I21" s="30" t="inlineStr">
        <is>
          <t>Do last, after all structural changes.</t>
        </is>
      </c>
    </row>
    <row r="22" ht="60" customHeight="1" s="25">
      <c r="A22" s="33" t="inlineStr">
        <is>
          <t>T20</t>
        </is>
      </c>
      <c r="B22" s="38" t="inlineStr">
        <is>
          <t>Low</t>
        </is>
      </c>
      <c r="C22" s="34" t="inlineStr">
        <is>
          <t>New content</t>
        </is>
      </c>
      <c r="D22" s="34" t="inlineStr">
        <is>
          <t>part1/ (README or intro)</t>
        </is>
      </c>
      <c r="E22" s="34" t="inlineStr">
        <is>
          <t>The book has no statement of what system the examples run on, what emulator to use, or what 'platform-agnostic' means in practice. The TEC-1 is mentioned once in passing.</t>
        </is>
      </c>
      <c r="F22" s="34" t="inlineStr">
        <is>
          <t>Add a 'Hardware and emulator setup' section to the Part 1 README or root README: name the target system (or explain the platform-agnostic approach), link to the emulator, and show how to verify that a compiled program ran correctly.</t>
        </is>
      </c>
      <c r="G22" s="36" t="inlineStr">
        <is>
          <t>Done</t>
        </is>
      </c>
      <c r="H22" s="35" t="inlineStr">
        <is>
          <t>S (0.5 hr)</t>
        </is>
      </c>
      <c r="I22" s="34" t="n"/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24" min="1" max="1"/>
    <col width="14" customWidth="1" style="24" min="2" max="4"/>
    <col width="36" customWidth="1" style="24" min="5" max="5"/>
  </cols>
  <sheetData>
    <row r="1" ht="25.5" customHeight="1" s="25">
      <c r="A1" s="26" t="inlineStr">
        <is>
          <t>Book Improvement — Summary Dashboard</t>
        </is>
      </c>
    </row>
    <row r="3" ht="15" customHeight="1" s="25">
      <c r="A3" s="27" t="inlineStr">
        <is>
          <t>By Priority</t>
        </is>
      </c>
      <c r="B3" s="27" t="n">
        <v>9</v>
      </c>
      <c r="C3" s="27" t="n">
        <v>3</v>
      </c>
      <c r="D3" s="27" t="n">
        <v>6</v>
      </c>
      <c r="E3" s="27">
        <f>6/9</f>
        <v/>
      </c>
    </row>
    <row r="4" ht="18" customHeight="1" s="25">
      <c r="A4" s="39" t="inlineStr">
        <is>
          <t>High</t>
        </is>
      </c>
      <c r="B4" s="40" t="n">
        <v>8</v>
      </c>
      <c r="C4" s="40" t="n">
        <v>0</v>
      </c>
      <c r="D4" s="40" t="n">
        <v>8</v>
      </c>
      <c r="E4" s="41">
        <f>8/8</f>
        <v/>
      </c>
    </row>
    <row r="5" ht="18" customHeight="1" s="25">
      <c r="A5" s="42" t="inlineStr">
        <is>
          <t>Medium</t>
        </is>
      </c>
      <c r="B5" s="40" t="n">
        <v>3</v>
      </c>
      <c r="C5" s="40" t="n">
        <v>0</v>
      </c>
      <c r="D5" s="40" t="n">
        <v>3</v>
      </c>
      <c r="E5" s="41">
        <f>3/3</f>
        <v/>
      </c>
    </row>
    <row r="6" ht="18" customHeight="1" s="25">
      <c r="A6" s="43" t="inlineStr">
        <is>
          <t>Low</t>
        </is>
      </c>
      <c r="B6" s="40" t="n">
        <v>20</v>
      </c>
      <c r="C6" s="40" t="n">
        <v>3</v>
      </c>
      <c r="D6" s="40" t="n">
        <v>17</v>
      </c>
      <c r="E6" s="41">
        <f>17/20</f>
        <v/>
      </c>
    </row>
    <row r="7" ht="18" customHeight="1" s="25">
      <c r="A7" s="44" t="inlineStr">
        <is>
          <t>TOTAL</t>
        </is>
      </c>
      <c r="B7" s="45">
        <f>SUM(B4:B6)</f>
        <v/>
      </c>
      <c r="C7" s="45">
        <f>SUM(C4:C6)</f>
        <v/>
      </c>
      <c r="D7" s="45">
        <f>SUM(D4:D6)</f>
        <v/>
      </c>
      <c r="E7" s="46">
        <f>IFERROR(D7/B7,0)</f>
        <v/>
      </c>
    </row>
    <row r="9" ht="15" customHeight="1" s="25">
      <c r="A9" s="27" t="inlineStr">
        <is>
          <t>By Type</t>
        </is>
      </c>
      <c r="B9" s="27" t="inlineStr">
        <is>
          <t>Total Tasks</t>
        </is>
      </c>
      <c r="C9" s="27" t="inlineStr">
        <is>
          <t>Not Started</t>
        </is>
      </c>
      <c r="D9" s="27" t="inlineStr">
        <is>
          <t>Done</t>
        </is>
      </c>
    </row>
    <row r="10" ht="15.75" customHeight="1" s="25">
      <c r="A10" s="47" t="inlineStr">
        <is>
          <t>New content</t>
        </is>
      </c>
      <c r="B10" s="40">
        <f>COUNTIF(Tasks!C$3:C$22,A10)</f>
        <v/>
      </c>
      <c r="C10" s="40">
        <f>COUNTIFS(Tasks!C$3:C$22,A10,Tasks!G$3:G$22,"Not started")</f>
        <v/>
      </c>
      <c r="D10" s="40">
        <f>COUNTIFS(Tasks!C$3:C$22,A10,Tasks!G$3:G$22,"Done")</f>
        <v/>
      </c>
    </row>
    <row r="11" ht="15.75" customHeight="1" s="25">
      <c r="A11" s="47" t="inlineStr">
        <is>
          <t>Structural</t>
        </is>
      </c>
      <c r="B11" s="40">
        <f>COUNTIF(Tasks!C$3:C$22,A11)</f>
        <v/>
      </c>
      <c r="C11" s="40">
        <f>COUNTIFS(Tasks!C$3:C$22,A11,Tasks!G$3:G$22,"Not started")</f>
        <v/>
      </c>
      <c r="D11" s="40">
        <f>COUNTIFS(Tasks!C$3:C$22,A11,Tasks!G$3:G$22,"Done")</f>
        <v/>
      </c>
    </row>
    <row r="12" ht="15.75" customHeight="1" s="25">
      <c r="A12" s="47" t="inlineStr">
        <is>
          <t>Prose</t>
        </is>
      </c>
      <c r="B12" s="40">
        <f>COUNTIF(Tasks!C$3:C$22,A12)</f>
        <v/>
      </c>
      <c r="C12" s="40">
        <f>COUNTIFS(Tasks!C$3:C$22,A12,Tasks!G$3:G$22,"Not started")</f>
        <v/>
      </c>
      <c r="D12" s="40">
        <f>COUNTIFS(Tasks!C$3:C$22,A12,Tasks!G$3:G$22,"Done")</f>
        <v/>
      </c>
    </row>
    <row r="13" ht="15.75" customHeight="1" s="25">
      <c r="A13" s="47" t="inlineStr">
        <is>
          <t>Review</t>
        </is>
      </c>
      <c r="B13" s="40">
        <f>COUNTIF(Tasks!C$3:C$22,A13)</f>
        <v/>
      </c>
      <c r="C13" s="40">
        <f>COUNTIFS(Tasks!C$3:C$22,A13,Tasks!G$3:G$22,"Not started")</f>
        <v/>
      </c>
      <c r="D13" s="40">
        <f>COUNTIFS(Tasks!C$3:C$22,A13,Tasks!G$3:G$22,"Done")</f>
        <v/>
      </c>
    </row>
    <row r="15" ht="15" customHeight="1" s="25">
      <c r="A15" s="48" t="inlineStr">
        <is>
          <t>Effort Key</t>
        </is>
      </c>
      <c r="B15" s="48" t="inlineStr">
        <is>
          <t>Approx. Time</t>
        </is>
      </c>
    </row>
    <row r="16" ht="15" customHeight="1" s="25">
      <c r="A16" s="49" t="inlineStr">
        <is>
          <t>S (small)</t>
        </is>
      </c>
      <c r="B16" s="49" t="inlineStr">
        <is>
          <t>~30 min</t>
        </is>
      </c>
    </row>
    <row r="17" ht="15" customHeight="1" s="25">
      <c r="A17" s="49" t="inlineStr">
        <is>
          <t>M (medium)</t>
        </is>
      </c>
      <c r="B17" s="49" t="inlineStr">
        <is>
          <t>~1 hr</t>
        </is>
      </c>
    </row>
    <row r="18" ht="15" customHeight="1" s="25">
      <c r="A18" s="49" t="inlineStr">
        <is>
          <t>L (large)</t>
        </is>
      </c>
      <c r="B18" s="49" t="inlineStr">
        <is>
          <t>~2 hr</t>
        </is>
      </c>
    </row>
    <row r="19" ht="15" customHeight="1" s="25">
      <c r="A19" s="49" t="inlineStr">
        <is>
          <t>XL (x-large)</t>
        </is>
      </c>
      <c r="B19" s="49" t="inlineStr">
        <is>
          <t>4–5 hr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2026-04-03T08:39:38Z</dcterms:created>
  <dcterms:modified xmlns:dcterms="http://purl.org/dc/terms/" xmlns:xsi="http://www.w3.org/2001/XMLSchema-instance" xsi:type="dcterms:W3CDTF">2026-04-03T10:51:43Z</dcterms:modified>
  <cp:revision>0</cp:revision>
</cp:coreProperties>
</file>